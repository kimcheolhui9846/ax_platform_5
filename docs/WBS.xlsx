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" sheetId="1" state="visible" r:id="rId1"/>
    <sheet name="요약" sheetId="2" state="visible" r:id="rId2"/>
  </sheets>
  <definedNames>
    <definedName name="_xlnm._FilterDatabase" localSheetId="0" hidden="1">'WBS'!$A$4:$K$40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800122"/>
      <sz val="16"/>
    </font>
    <font>
      <color rgb="00707070"/>
      <sz val="10"/>
    </font>
    <font>
      <b val="1"/>
      <color rgb="00FFFFFF"/>
    </font>
    <font>
      <b val="1"/>
    </font>
    <font>
      <b val="1"/>
      <color rgb="00800122"/>
      <sz val="14"/>
    </font>
    <font>
      <color rgb="00707070"/>
      <sz val="9"/>
    </font>
  </fonts>
  <fills count="4">
    <fill>
      <patternFill/>
    </fill>
    <fill>
      <patternFill patternType="gray125"/>
    </fill>
    <fill>
      <patternFill patternType="solid">
        <fgColor rgb="00800122"/>
      </patternFill>
    </fill>
    <fill>
      <patternFill patternType="solid">
        <fgColor rgb="00F4F1E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9" fontId="4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9" fontId="0" fillId="0" borderId="1" applyAlignment="1" pivotButton="0" quotePrefix="0" xfId="0">
      <alignment vertical="center"/>
    </xf>
    <xf numFmtId="0" fontId="5" fillId="0" borderId="0" pivotButton="0" quotePrefix="0" xfId="0"/>
    <xf numFmtId="0" fontId="0" fillId="0" borderId="1" pivotButton="0" quotePrefix="0" xfId="0"/>
    <xf numFmtId="9" fontId="0" fillId="0" borderId="1" pivotButton="0" quotePrefix="0" xfId="0"/>
    <xf numFmtId="0" fontId="4" fillId="0" borderId="1" pivotButton="0" quotePrefix="0" xfId="0"/>
    <xf numFmtId="9" fontId="4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FF0E0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36" customWidth="1" min="3" max="3"/>
    <col width="46" customWidth="1" min="4" max="4"/>
    <col width="8" customWidth="1" min="5" max="5"/>
    <col width="12" customWidth="1" min="6" max="6"/>
    <col width="12" customWidth="1" min="7" max="7"/>
    <col width="10" customWidth="1" min="8" max="8"/>
    <col width="9" customWidth="1" min="9" max="9"/>
    <col width="28" customWidth="1" min="10" max="10"/>
    <col width="24" customWidth="1" min="11" max="11"/>
  </cols>
  <sheetData>
    <row r="1">
      <c r="A1" s="1" t="inlineStr">
        <is>
          <t>AX 코칭 플랫폼 · WBS</t>
        </is>
      </c>
    </row>
    <row r="2">
      <c r="A2" s="2" t="inlineStr">
        <is>
          <t>기준일 2026-10-17 · 상태·진척률·날짜는 직접 고쳐 쓰세요. 단계 행과 '요약' 시트는 자동으로 다시 계산됩니다.</t>
        </is>
      </c>
    </row>
    <row r="4">
      <c r="A4" s="3" t="inlineStr">
        <is>
          <t>ID</t>
        </is>
      </c>
      <c r="B4" s="3" t="inlineStr">
        <is>
          <t>단계</t>
        </is>
      </c>
      <c r="C4" s="3" t="inlineStr">
        <is>
          <t>작업</t>
        </is>
      </c>
      <c r="D4" s="3" t="inlineStr">
        <is>
          <t>세부 내용</t>
        </is>
      </c>
      <c r="E4" s="3" t="inlineStr">
        <is>
          <t>담당</t>
        </is>
      </c>
      <c r="F4" s="3" t="inlineStr">
        <is>
          <t>시작일</t>
        </is>
      </c>
      <c r="G4" s="3" t="inlineStr">
        <is>
          <t>완료일</t>
        </is>
      </c>
      <c r="H4" s="3" t="inlineStr">
        <is>
          <t>상태</t>
        </is>
      </c>
      <c r="I4" s="3" t="inlineStr">
        <is>
          <t>진척률</t>
        </is>
      </c>
      <c r="J4" s="3" t="inlineStr">
        <is>
          <t>산출물·PR</t>
        </is>
      </c>
      <c r="K4" s="3" t="inlineStr">
        <is>
          <t>메모</t>
        </is>
      </c>
    </row>
    <row r="5">
      <c r="A5" s="4" t="inlineStr">
        <is>
          <t>1</t>
        </is>
      </c>
      <c r="B5" s="4" t="inlineStr">
        <is>
          <t>기획·설계</t>
        </is>
      </c>
      <c r="C5" s="5" t="inlineStr">
        <is>
          <t>기획·설계</t>
        </is>
      </c>
      <c r="D5" s="5" t="n"/>
      <c r="E5" s="4" t="n"/>
      <c r="F5" s="4" t="n"/>
      <c r="G5" s="4" t="n"/>
      <c r="H5" s="4" t="n"/>
      <c r="I5" s="6">
        <f>IFERROR(AVERAGE(I6:I8),0)</f>
        <v/>
      </c>
      <c r="J5" s="5" t="n"/>
      <c r="K5" s="5" t="n"/>
    </row>
    <row r="6">
      <c r="A6" s="7" t="inlineStr">
        <is>
          <t>1.1</t>
        </is>
      </c>
      <c r="B6" s="7" t="inlineStr">
        <is>
          <t>기획·설계</t>
        </is>
      </c>
      <c r="C6" s="8" t="inlineStr">
        <is>
          <t>서비스 기획서·하네스 설계서</t>
        </is>
      </c>
      <c r="D6" s="8" t="inlineStr">
        <is>
          <t>과제 4개(사업계획·상품기획·브랜딩·마케팅), 적응형 질문, 사실·가정 분리 원칙</t>
        </is>
      </c>
      <c r="E6" s="7" t="inlineStr">
        <is>
          <t>공동</t>
        </is>
      </c>
      <c r="F6" s="7" t="n"/>
      <c r="G6" s="7" t="inlineStr">
        <is>
          <t>2026-10-15</t>
        </is>
      </c>
      <c r="H6" s="7" t="inlineStr">
        <is>
          <t>완료</t>
        </is>
      </c>
      <c r="I6" s="9" t="n">
        <v>1</v>
      </c>
      <c r="J6" s="8" t="inlineStr">
        <is>
          <t>docs/planning</t>
        </is>
      </c>
      <c r="K6" s="8" t="n"/>
    </row>
    <row r="7">
      <c r="A7" s="7" t="inlineStr">
        <is>
          <t>1.2</t>
        </is>
      </c>
      <c r="B7" s="7" t="inlineStr">
        <is>
          <t>기획·설계</t>
        </is>
      </c>
      <c r="C7" s="8" t="inlineStr">
        <is>
          <t>개발 기반 설계</t>
        </is>
      </c>
      <c r="D7" s="8" t="inlineStr">
        <is>
          <t>FastAPI 하네스 구조, API 계약, 테스트 전략</t>
        </is>
      </c>
      <c r="E7" s="7" t="inlineStr">
        <is>
          <t>개발</t>
        </is>
      </c>
      <c r="F7" s="7" t="inlineStr">
        <is>
          <t>2026-10-15</t>
        </is>
      </c>
      <c r="G7" s="7" t="inlineStr">
        <is>
          <t>2026-10-15</t>
        </is>
      </c>
      <c r="H7" s="7" t="inlineStr">
        <is>
          <t>완료</t>
        </is>
      </c>
      <c r="I7" s="9" t="n">
        <v>1</v>
      </c>
      <c r="J7" s="8" t="inlineStr">
        <is>
          <t>기반 설계 문서</t>
        </is>
      </c>
      <c r="K7" s="8" t="n"/>
    </row>
    <row r="8">
      <c r="A8" s="7" t="inlineStr">
        <is>
          <t>1.3</t>
        </is>
      </c>
      <c r="B8" s="7" t="inlineStr">
        <is>
          <t>기획·설계</t>
        </is>
      </c>
      <c r="C8" s="8" t="inlineStr">
        <is>
          <t>디자인 V2 반영 설계</t>
        </is>
      </c>
      <c r="D8" s="8" t="inlineStr">
        <is>
          <t>V2 화면 흐름, 묶음 0~4로 작업 나누기</t>
        </is>
      </c>
      <c r="E8" s="7" t="inlineStr">
        <is>
          <t>개발</t>
        </is>
      </c>
      <c r="F8" s="7" t="inlineStr">
        <is>
          <t>2026-10-16</t>
        </is>
      </c>
      <c r="G8" s="7" t="inlineStr">
        <is>
          <t>2026-10-16</t>
        </is>
      </c>
      <c r="H8" s="7" t="inlineStr">
        <is>
          <t>완료</t>
        </is>
      </c>
      <c r="I8" s="9" t="n">
        <v>1</v>
      </c>
      <c r="J8" s="8" t="inlineStr">
        <is>
          <t>PR #11</t>
        </is>
      </c>
      <c r="K8" s="8" t="n"/>
    </row>
    <row r="9">
      <c r="A9" s="4" t="inlineStr">
        <is>
          <t>2</t>
        </is>
      </c>
      <c r="B9" s="4" t="inlineStr">
        <is>
          <t>백엔드 기반</t>
        </is>
      </c>
      <c r="C9" s="5" t="inlineStr">
        <is>
          <t>백엔드 기반(하네스·API)</t>
        </is>
      </c>
      <c r="D9" s="5" t="n"/>
      <c r="E9" s="4" t="n"/>
      <c r="F9" s="4" t="n"/>
      <c r="G9" s="4" t="n"/>
      <c r="H9" s="4" t="n"/>
      <c r="I9" s="6">
        <f>IFERROR(AVERAGE(I10:I17),0)</f>
        <v/>
      </c>
      <c r="J9" s="5" t="n"/>
      <c r="K9" s="5" t="n"/>
    </row>
    <row r="10">
      <c r="A10" s="7" t="inlineStr">
        <is>
          <t>2.1</t>
        </is>
      </c>
      <c r="B10" s="7" t="inlineStr">
        <is>
          <t>백엔드 기반</t>
        </is>
      </c>
      <c r="C10" s="8" t="inlineStr">
        <is>
          <t>세션 상태 모델</t>
        </is>
      </c>
      <c r="D10" s="8" t="inlineStr">
        <is>
          <t>사실·가정·미정 구분, 정보 출처 표시</t>
        </is>
      </c>
      <c r="E10" s="7" t="inlineStr">
        <is>
          <t>개발</t>
        </is>
      </c>
      <c r="F10" s="7" t="inlineStr">
        <is>
          <t>2026-10-15</t>
        </is>
      </c>
      <c r="G10" s="7" t="inlineStr">
        <is>
          <t>2026-10-16</t>
        </is>
      </c>
      <c r="H10" s="7" t="inlineStr">
        <is>
          <t>완료</t>
        </is>
      </c>
      <c r="I10" s="9" t="n">
        <v>1</v>
      </c>
      <c r="J10" s="8" t="inlineStr">
        <is>
          <t>PR #1</t>
        </is>
      </c>
      <c r="K10" s="8" t="n"/>
    </row>
    <row r="11">
      <c r="A11" s="7" t="inlineStr">
        <is>
          <t>2.2</t>
        </is>
      </c>
      <c r="B11" s="7" t="inlineStr">
        <is>
          <t>백엔드 기반</t>
        </is>
      </c>
      <c r="C11" s="8" t="inlineStr">
        <is>
          <t>AI 모델 연결 자리·Mock</t>
        </is>
      </c>
      <c r="D11" s="8" t="inlineStr">
        <is>
          <t>비용 없이 개발·테스트하는 가짜 모델</t>
        </is>
      </c>
      <c r="E11" s="7" t="inlineStr">
        <is>
          <t>개발</t>
        </is>
      </c>
      <c r="F11" s="7" t="inlineStr">
        <is>
          <t>2026-10-15</t>
        </is>
      </c>
      <c r="G11" s="7" t="inlineStr">
        <is>
          <t>2026-10-16</t>
        </is>
      </c>
      <c r="H11" s="7" t="inlineStr">
        <is>
          <t>완료</t>
        </is>
      </c>
      <c r="I11" s="9" t="n">
        <v>1</v>
      </c>
      <c r="J11" s="8" t="inlineStr">
        <is>
          <t>PR #2</t>
        </is>
      </c>
      <c r="K11" s="8" t="n"/>
    </row>
    <row r="12">
      <c r="A12" s="7" t="inlineStr">
        <is>
          <t>2.3</t>
        </is>
      </c>
      <c r="B12" s="7" t="inlineStr">
        <is>
          <t>백엔드 기반</t>
        </is>
      </c>
      <c r="C12" s="8" t="inlineStr">
        <is>
          <t>과제 정책·프롬프트 틀</t>
        </is>
      </c>
      <c r="D12" s="8" t="inlineStr">
        <is>
          <t>과제별 질문 정책(policy.yaml), 단계별 프롬프트</t>
        </is>
      </c>
      <c r="E12" s="7" t="inlineStr">
        <is>
          <t>개발</t>
        </is>
      </c>
      <c r="F12" s="7" t="inlineStr">
        <is>
          <t>2026-10-16</t>
        </is>
      </c>
      <c r="G12" s="7" t="inlineStr">
        <is>
          <t>2026-10-16</t>
        </is>
      </c>
      <c r="H12" s="7" t="inlineStr">
        <is>
          <t>완료</t>
        </is>
      </c>
      <c r="I12" s="9" t="n">
        <v>1</v>
      </c>
      <c r="J12" s="8" t="inlineStr">
        <is>
          <t>PR #3</t>
        </is>
      </c>
      <c r="K12" s="8" t="n"/>
    </row>
    <row r="13">
      <c r="A13" s="7" t="inlineStr">
        <is>
          <t>2.4</t>
        </is>
      </c>
      <c r="B13" s="7" t="inlineStr">
        <is>
          <t>백엔드 기반</t>
        </is>
      </c>
      <c r="C13" s="8" t="inlineStr">
        <is>
          <t>질문 진행 흐름</t>
        </is>
      </c>
      <c r="D13" s="8" t="inlineStr">
        <is>
          <t>모드별 질문 상한, '다른 예시 보기' 단계</t>
        </is>
      </c>
      <c r="E13" s="7" t="inlineStr">
        <is>
          <t>개발</t>
        </is>
      </c>
      <c r="F13" s="7" t="inlineStr">
        <is>
          <t>2026-10-16</t>
        </is>
      </c>
      <c r="G13" s="7" t="inlineStr">
        <is>
          <t>2026-10-16</t>
        </is>
      </c>
      <c r="H13" s="7" t="inlineStr">
        <is>
          <t>완료</t>
        </is>
      </c>
      <c r="I13" s="9" t="n">
        <v>1</v>
      </c>
      <c r="J13" s="8" t="inlineStr">
        <is>
          <t>PR #4</t>
        </is>
      </c>
      <c r="K13" s="8" t="n"/>
    </row>
    <row r="14">
      <c r="A14" s="7" t="inlineStr">
        <is>
          <t>2.5</t>
        </is>
      </c>
      <c r="B14" s="7" t="inlineStr">
        <is>
          <t>백엔드 기반</t>
        </is>
      </c>
      <c r="C14" s="8" t="inlineStr">
        <is>
          <t>결과 생성·검증·시나리오 실행</t>
        </is>
      </c>
      <c r="D14" s="8" t="n"/>
      <c r="E14" s="7" t="inlineStr">
        <is>
          <t>개발</t>
        </is>
      </c>
      <c r="F14" s="7" t="inlineStr">
        <is>
          <t>2026-10-16</t>
        </is>
      </c>
      <c r="G14" s="7" t="inlineStr">
        <is>
          <t>2026-10-16</t>
        </is>
      </c>
      <c r="H14" s="7" t="inlineStr">
        <is>
          <t>완료</t>
        </is>
      </c>
      <c r="I14" s="9" t="n">
        <v>1</v>
      </c>
      <c r="J14" s="8" t="inlineStr">
        <is>
          <t>PR #5</t>
        </is>
      </c>
      <c r="K14" s="8" t="n"/>
    </row>
    <row r="15">
      <c r="A15" s="7" t="inlineStr">
        <is>
          <t>2.6</t>
        </is>
      </c>
      <c r="B15" s="7" t="inlineStr">
        <is>
          <t>백엔드 기반</t>
        </is>
      </c>
      <c r="C15" s="8" t="inlineStr">
        <is>
          <t>과제 4개 하네스</t>
        </is>
      </c>
      <c r="D15" s="8" t="inlineStr">
        <is>
          <t>과제별 정책·프롬프트·검증 규칙</t>
        </is>
      </c>
      <c r="E15" s="7" t="inlineStr">
        <is>
          <t>개발</t>
        </is>
      </c>
      <c r="F15" s="7" t="inlineStr">
        <is>
          <t>2026-10-16</t>
        </is>
      </c>
      <c r="G15" s="7" t="inlineStr">
        <is>
          <t>2026-10-16</t>
        </is>
      </c>
      <c r="H15" s="7" t="inlineStr">
        <is>
          <t>완료</t>
        </is>
      </c>
      <c r="I15" s="9" t="n">
        <v>1</v>
      </c>
      <c r="J15" s="8" t="inlineStr">
        <is>
          <t>PR #6</t>
        </is>
      </c>
      <c r="K15" s="8" t="n"/>
    </row>
    <row r="16">
      <c r="A16" s="7" t="inlineStr">
        <is>
          <t>2.7</t>
        </is>
      </c>
      <c r="B16" s="7" t="inlineStr">
        <is>
          <t>백엔드 기반</t>
        </is>
      </c>
      <c r="C16" s="8" t="inlineStr">
        <is>
          <t>코칭 API</t>
        </is>
      </c>
      <c r="D16" s="8" t="inlineStr">
        <is>
          <t>한국어 오류 문구, API 문서</t>
        </is>
      </c>
      <c r="E16" s="7" t="inlineStr">
        <is>
          <t>개발</t>
        </is>
      </c>
      <c r="F16" s="7" t="inlineStr">
        <is>
          <t>2026-10-16</t>
        </is>
      </c>
      <c r="G16" s="7" t="inlineStr">
        <is>
          <t>2026-10-16</t>
        </is>
      </c>
      <c r="H16" s="7" t="inlineStr">
        <is>
          <t>완료</t>
        </is>
      </c>
      <c r="I16" s="9" t="n">
        <v>1</v>
      </c>
      <c r="J16" s="8" t="inlineStr">
        <is>
          <t>PR #7</t>
        </is>
      </c>
      <c r="K16" s="8" t="n"/>
    </row>
    <row r="17">
      <c r="A17" s="7" t="inlineStr">
        <is>
          <t>2.8</t>
        </is>
      </c>
      <c r="B17" s="7" t="inlineStr">
        <is>
          <t>백엔드 기반</t>
        </is>
      </c>
      <c r="C17" s="8" t="inlineStr">
        <is>
          <t>첫 화면·개발 문서·리뷰 수정</t>
        </is>
      </c>
      <c r="D17" s="8" t="inlineStr">
        <is>
          <t>API에 맞춘 최소 화면, 개발 안내(CLAUDE.md)</t>
        </is>
      </c>
      <c r="E17" s="7" t="inlineStr">
        <is>
          <t>개발</t>
        </is>
      </c>
      <c r="F17" s="7" t="inlineStr">
        <is>
          <t>2026-10-16</t>
        </is>
      </c>
      <c r="G17" s="7" t="inlineStr">
        <is>
          <t>2026-10-16</t>
        </is>
      </c>
      <c r="H17" s="7" t="inlineStr">
        <is>
          <t>완료</t>
        </is>
      </c>
      <c r="I17" s="9" t="n">
        <v>1</v>
      </c>
      <c r="J17" s="8" t="inlineStr">
        <is>
          <t>PR #8~#10</t>
        </is>
      </c>
      <c r="K17" s="8" t="n"/>
    </row>
    <row r="18">
      <c r="A18" s="4" t="inlineStr">
        <is>
          <t>3</t>
        </is>
      </c>
      <c r="B18" s="4" t="inlineStr">
        <is>
          <t>디자인</t>
        </is>
      </c>
      <c r="C18" s="5" t="inlineStr">
        <is>
          <t>디자인</t>
        </is>
      </c>
      <c r="D18" s="5" t="n"/>
      <c r="E18" s="4" t="n"/>
      <c r="F18" s="4" t="n"/>
      <c r="G18" s="4" t="n"/>
      <c r="H18" s="4" t="n"/>
      <c r="I18" s="6">
        <f>IFERROR(AVERAGE(I19:I22),0)</f>
        <v/>
      </c>
      <c r="J18" s="5" t="n"/>
      <c r="K18" s="5" t="n"/>
    </row>
    <row r="19">
      <c r="A19" s="7" t="inlineStr">
        <is>
          <t>3.1</t>
        </is>
      </c>
      <c r="B19" s="7" t="inlineStr">
        <is>
          <t>디자인</t>
        </is>
      </c>
      <c r="C19" s="8" t="inlineStr">
        <is>
          <t>UX V2 프로토타입</t>
        </is>
      </c>
      <c r="D19" s="8" t="inlineStr">
        <is>
          <t>전체 화면 흐름 HTML 프로토타입</t>
        </is>
      </c>
      <c r="E19" s="7" t="inlineStr">
        <is>
          <t>디자인</t>
        </is>
      </c>
      <c r="F19" s="7" t="n"/>
      <c r="G19" s="7" t="inlineStr">
        <is>
          <t>2026-10-16</t>
        </is>
      </c>
      <c r="H19" s="7" t="inlineStr">
        <is>
          <t>완료</t>
        </is>
      </c>
      <c r="I19" s="9" t="n">
        <v>1</v>
      </c>
      <c r="J19" s="8" t="inlineStr">
        <is>
          <t>design/2026-10-16-ux-v2</t>
        </is>
      </c>
      <c r="K19" s="8" t="n"/>
    </row>
    <row r="20">
      <c r="A20" s="7" t="inlineStr">
        <is>
          <t>3.2</t>
        </is>
      </c>
      <c r="B20" s="7" t="inlineStr">
        <is>
          <t>디자인</t>
        </is>
      </c>
      <c r="C20" s="8" t="inlineStr">
        <is>
          <t>V2 피드백 반영 수정본</t>
        </is>
      </c>
      <c r="D20" s="8" t="inlineStr">
        <is>
          <t>모든 질문에 '다른 예시 보기', 모드 설명, 이미지 블록, 생성 중·실패·최신 아님 상태</t>
        </is>
      </c>
      <c r="E20" s="7" t="inlineStr">
        <is>
          <t>디자인</t>
        </is>
      </c>
      <c r="F20" s="7" t="inlineStr">
        <is>
          <t>2026-10-17</t>
        </is>
      </c>
      <c r="G20" s="7" t="inlineStr">
        <is>
          <t>2026-10-17</t>
        </is>
      </c>
      <c r="H20" s="7" t="inlineStr">
        <is>
          <t>완료</t>
        </is>
      </c>
      <c r="I20" s="9" t="n">
        <v>1</v>
      </c>
      <c r="J20" s="8" t="inlineStr">
        <is>
          <t>design/2026-10-17-ux-v2-feedback</t>
        </is>
      </c>
      <c r="K20" s="8" t="n"/>
    </row>
    <row r="21">
      <c r="A21" s="7" t="inlineStr">
        <is>
          <t>3.3</t>
        </is>
      </c>
      <c r="B21" s="7" t="inlineStr">
        <is>
          <t>디자인</t>
        </is>
      </c>
      <c r="C21" s="8" t="inlineStr">
        <is>
          <t>모바일 390px 화면 검수</t>
        </is>
      </c>
      <c r="D21" s="8" t="inlineStr">
        <is>
          <t>반응형 자동 배치 확인</t>
        </is>
      </c>
      <c r="E21" s="7" t="inlineStr">
        <is>
          <t>디자인</t>
        </is>
      </c>
      <c r="F21" s="7" t="n"/>
      <c r="G21" s="7" t="n"/>
      <c r="H21" s="7" t="inlineStr">
        <is>
          <t>예정</t>
        </is>
      </c>
      <c r="I21" s="9" t="n">
        <v>0</v>
      </c>
      <c r="J21" s="8" t="n"/>
      <c r="K21" s="8" t="n"/>
    </row>
    <row r="22">
      <c r="A22" s="7" t="inlineStr">
        <is>
          <t>3.4</t>
        </is>
      </c>
      <c r="B22" s="7" t="inlineStr">
        <is>
          <t>디자인</t>
        </is>
      </c>
      <c r="C22" s="8" t="inlineStr">
        <is>
          <t>개발 화면 피그마로 가져와 다듬기</t>
        </is>
      </c>
      <c r="D22" s="8" t="inlineStr">
        <is>
          <t>/preview 화면을 html.to.design으로 가져와 수정</t>
        </is>
      </c>
      <c r="E22" s="7" t="inlineStr">
        <is>
          <t>디자인</t>
        </is>
      </c>
      <c r="F22" s="7" t="n"/>
      <c r="G22" s="7" t="n"/>
      <c r="H22" s="7" t="inlineStr">
        <is>
          <t>예정</t>
        </is>
      </c>
      <c r="I22" s="9" t="n">
        <v>0</v>
      </c>
      <c r="J22" s="8" t="n"/>
      <c r="K22" s="8" t="n"/>
    </row>
    <row r="23">
      <c r="A23" s="4" t="inlineStr">
        <is>
          <t>4</t>
        </is>
      </c>
      <c r="B23" s="4" t="inlineStr">
        <is>
          <t>화면 개발(V2)</t>
        </is>
      </c>
      <c r="C23" s="5" t="inlineStr">
        <is>
          <t>디자인 V2 화면 개발</t>
        </is>
      </c>
      <c r="D23" s="5" t="n"/>
      <c r="E23" s="4" t="n"/>
      <c r="F23" s="4" t="n"/>
      <c r="G23" s="4" t="n"/>
      <c r="H23" s="4" t="n"/>
      <c r="I23" s="6">
        <f>IFERROR(AVERAGE(I24:I30),0)</f>
        <v/>
      </c>
      <c r="J23" s="5" t="n"/>
      <c r="K23" s="5" t="n"/>
    </row>
    <row r="24">
      <c r="A24" s="7" t="inlineStr">
        <is>
          <t>4.1</t>
        </is>
      </c>
      <c r="B24" s="7" t="inlineStr">
        <is>
          <t>화면 개발(V2)</t>
        </is>
      </c>
      <c r="C24" s="8" t="inlineStr">
        <is>
          <t>묶음 0: 디자인 토큰·앱 뼈대·미리보기 갤러리</t>
        </is>
      </c>
      <c r="D24" s="8" t="inlineStr">
        <is>
          <t>버셀 배포 설정 포함</t>
        </is>
      </c>
      <c r="E24" s="7" t="inlineStr">
        <is>
          <t>개발</t>
        </is>
      </c>
      <c r="F24" s="7" t="inlineStr">
        <is>
          <t>2026-10-16</t>
        </is>
      </c>
      <c r="G24" s="7" t="inlineStr">
        <is>
          <t>2026-10-16</t>
        </is>
      </c>
      <c r="H24" s="7" t="inlineStr">
        <is>
          <t>완료</t>
        </is>
      </c>
      <c r="I24" s="9" t="n">
        <v>1</v>
      </c>
      <c r="J24" s="8" t="inlineStr">
        <is>
          <t>PR #12</t>
        </is>
      </c>
      <c r="K24" s="8" t="n"/>
    </row>
    <row r="25">
      <c r="A25" s="7" t="inlineStr">
        <is>
          <t>4.2</t>
        </is>
      </c>
      <c r="B25" s="7" t="inlineStr">
        <is>
          <t>화면 개발(V2)</t>
        </is>
      </c>
      <c r="C25" s="8" t="inlineStr">
        <is>
          <t>묶음 1: 질문 흐름 화면(홈~결과)</t>
        </is>
      </c>
      <c r="D25" s="8" t="inlineStr">
        <is>
          <t>답변 종류, 흐름 패널, 익명 사용자</t>
        </is>
      </c>
      <c r="E25" s="7" t="inlineStr">
        <is>
          <t>개발</t>
        </is>
      </c>
      <c r="F25" s="7" t="inlineStr">
        <is>
          <t>2026-10-17</t>
        </is>
      </c>
      <c r="G25" s="7" t="inlineStr">
        <is>
          <t>2026-10-17</t>
        </is>
      </c>
      <c r="H25" s="7" t="inlineStr">
        <is>
          <t>완료</t>
        </is>
      </c>
      <c r="I25" s="9" t="n">
        <v>1</v>
      </c>
      <c r="J25" s="8" t="inlineStr">
        <is>
          <t>PR #13</t>
        </is>
      </c>
      <c r="K25" s="8" t="n"/>
    </row>
    <row r="26">
      <c r="A26" s="7" t="inlineStr">
        <is>
          <t>4.3</t>
        </is>
      </c>
      <c r="B26" s="7" t="inlineStr">
        <is>
          <t>화면 개발(V2)</t>
        </is>
      </c>
      <c r="C26" s="8" t="inlineStr">
        <is>
          <t>묶음 2: 저장·버전·내 작업·결과물</t>
        </is>
      </c>
      <c r="D26" s="8" t="inlineStr">
        <is>
          <t>서버 저장(SQLite), 문서 내려받기</t>
        </is>
      </c>
      <c r="E26" s="7" t="inlineStr">
        <is>
          <t>개발</t>
        </is>
      </c>
      <c r="F26" s="7" t="inlineStr">
        <is>
          <t>2026-10-17</t>
        </is>
      </c>
      <c r="G26" s="7" t="inlineStr">
        <is>
          <t>2026-10-17</t>
        </is>
      </c>
      <c r="H26" s="7" t="inlineStr">
        <is>
          <t>완료</t>
        </is>
      </c>
      <c r="I26" s="9" t="n">
        <v>1</v>
      </c>
      <c r="J26" s="8" t="inlineStr">
        <is>
          <t>PR #14</t>
        </is>
      </c>
      <c r="K26" s="8" t="n"/>
    </row>
    <row r="27">
      <c r="A27" s="7" t="inlineStr">
        <is>
          <t>4.4</t>
        </is>
      </c>
      <c r="B27" s="7" t="inlineStr">
        <is>
          <t>화면 개발(V2)</t>
        </is>
      </c>
      <c r="C27" s="8" t="inlineStr">
        <is>
          <t>묶음 3a: 문구 수정·미확인 정보 보완</t>
        </is>
      </c>
      <c r="D27" s="8" t="inlineStr">
        <is>
          <t>결과를 섹션·블록으로</t>
        </is>
      </c>
      <c r="E27" s="7" t="inlineStr">
        <is>
          <t>개발</t>
        </is>
      </c>
      <c r="F27" s="7" t="inlineStr">
        <is>
          <t>2026-10-17</t>
        </is>
      </c>
      <c r="G27" s="7" t="inlineStr">
        <is>
          <t>2026-10-17</t>
        </is>
      </c>
      <c r="H27" s="7" t="inlineStr">
        <is>
          <t>완료</t>
        </is>
      </c>
      <c r="I27" s="9" t="n">
        <v>1</v>
      </c>
      <c r="J27" s="8" t="inlineStr">
        <is>
          <t>PR #15</t>
        </is>
      </c>
      <c r="K27" s="8" t="n"/>
    </row>
    <row r="28">
      <c r="A28" s="7" t="inlineStr">
        <is>
          <t>4.5</t>
        </is>
      </c>
      <c r="B28" s="7" t="inlineStr">
        <is>
          <t>화면 개발(V2)</t>
        </is>
      </c>
      <c r="C28" s="8" t="inlineStr">
        <is>
          <t>묶음 3b: 근거 자료 검토·결과 이미지</t>
        </is>
      </c>
      <c r="D28" s="8" t="inlineStr">
        <is>
          <t>샘플 근거 자료, 자리표시 이미지</t>
        </is>
      </c>
      <c r="E28" s="7" t="inlineStr">
        <is>
          <t>개발</t>
        </is>
      </c>
      <c r="F28" s="7" t="inlineStr">
        <is>
          <t>2026-10-17</t>
        </is>
      </c>
      <c r="G28" s="7" t="inlineStr">
        <is>
          <t>2026-10-17</t>
        </is>
      </c>
      <c r="H28" s="7" t="inlineStr">
        <is>
          <t>완료</t>
        </is>
      </c>
      <c r="I28" s="9" t="n">
        <v>1</v>
      </c>
      <c r="J28" s="8" t="inlineStr">
        <is>
          <t>PR #16</t>
        </is>
      </c>
      <c r="K28" s="8" t="n"/>
    </row>
    <row r="29">
      <c r="A29" s="7" t="inlineStr">
        <is>
          <t>4.6</t>
        </is>
      </c>
      <c r="B29" s="7" t="inlineStr">
        <is>
          <t>화면 개발(V2)</t>
        </is>
      </c>
      <c r="C29" s="8" t="inlineStr">
        <is>
          <t>디자인 피드백 반영</t>
        </is>
      </c>
      <c r="D29" s="8" t="inlineStr">
        <is>
          <t>생성 중·생성 실패 화면, 최신 아님 배너, 이미지 상자, 모드 설명</t>
        </is>
      </c>
      <c r="E29" s="7" t="inlineStr">
        <is>
          <t>개발</t>
        </is>
      </c>
      <c r="F29" s="7" t="inlineStr">
        <is>
          <t>2026-10-17</t>
        </is>
      </c>
      <c r="G29" s="7" t="inlineStr">
        <is>
          <t>2026-10-17</t>
        </is>
      </c>
      <c r="H29" s="7" t="inlineStr">
        <is>
          <t>완료</t>
        </is>
      </c>
      <c r="I29" s="9" t="n">
        <v>1</v>
      </c>
      <c r="J29" s="8" t="inlineStr">
        <is>
          <t>PR #17</t>
        </is>
      </c>
      <c r="K29" s="8" t="n"/>
    </row>
    <row r="30">
      <c r="A30" s="7" t="inlineStr">
        <is>
          <t>4.7</t>
        </is>
      </c>
      <c r="B30" s="7" t="inlineStr">
        <is>
          <t>화면 개발(V2)</t>
        </is>
      </c>
      <c r="C30" s="8" t="inlineStr">
        <is>
          <t>묶음 4: 다음 과제로 이어가기</t>
        </is>
      </c>
      <c r="D30" s="8" t="inlineStr">
        <is>
          <t>이전 결과를 다음 과제의 기준으로 가져오기</t>
        </is>
      </c>
      <c r="E30" s="7" t="inlineStr">
        <is>
          <t>개발</t>
        </is>
      </c>
      <c r="F30" s="7" t="n"/>
      <c r="G30" s="7" t="n"/>
      <c r="H30" s="7" t="inlineStr">
        <is>
          <t>예정</t>
        </is>
      </c>
      <c r="I30" s="9" t="n">
        <v>0</v>
      </c>
      <c r="J30" s="8" t="n"/>
      <c r="K30" s="8" t="n"/>
    </row>
    <row r="31">
      <c r="A31" s="4" t="inlineStr">
        <is>
          <t>5</t>
        </is>
      </c>
      <c r="B31" s="4" t="inlineStr">
        <is>
          <t>배포</t>
        </is>
      </c>
      <c r="C31" s="5" t="inlineStr">
        <is>
          <t>배포</t>
        </is>
      </c>
      <c r="D31" s="5" t="n"/>
      <c r="E31" s="4" t="n"/>
      <c r="F31" s="4" t="n"/>
      <c r="G31" s="4" t="n"/>
      <c r="H31" s="4" t="n"/>
      <c r="I31" s="6">
        <f>IFERROR(AVERAGE(I32:I33),0)</f>
        <v/>
      </c>
      <c r="J31" s="5" t="n"/>
      <c r="K31" s="5" t="n"/>
    </row>
    <row r="32">
      <c r="A32" s="7" t="inlineStr">
        <is>
          <t>5.1</t>
        </is>
      </c>
      <c r="B32" s="7" t="inlineStr">
        <is>
          <t>배포</t>
        </is>
      </c>
      <c r="C32" s="8" t="inlineStr">
        <is>
          <t>프론트 버셀 연결</t>
        </is>
      </c>
      <c r="D32" s="8" t="inlineStr">
        <is>
          <t>main은 정식 주소, PR마다 미리보기 주소</t>
        </is>
      </c>
      <c r="E32" s="7" t="inlineStr">
        <is>
          <t>개발</t>
        </is>
      </c>
      <c r="F32" s="7" t="n"/>
      <c r="G32" s="7" t="n"/>
      <c r="H32" s="7" t="inlineStr">
        <is>
          <t>예정</t>
        </is>
      </c>
      <c r="I32" s="9" t="n">
        <v>0</v>
      </c>
      <c r="J32" s="8" t="n"/>
      <c r="K32" s="8" t="n"/>
    </row>
    <row r="33">
      <c r="A33" s="7" t="inlineStr">
        <is>
          <t>5.2</t>
        </is>
      </c>
      <c r="B33" s="7" t="inlineStr">
        <is>
          <t>배포</t>
        </is>
      </c>
      <c r="C33" s="8" t="inlineStr">
        <is>
          <t>백엔드 서버 배포(렌더)</t>
        </is>
      </c>
      <c r="D33" s="8" t="inlineStr">
        <is>
          <t>저장 디스크 방식 정하기, 프론트와 연결</t>
        </is>
      </c>
      <c r="E33" s="7" t="inlineStr">
        <is>
          <t>개발</t>
        </is>
      </c>
      <c r="F33" s="7" t="n"/>
      <c r="G33" s="7" t="n"/>
      <c r="H33" s="7" t="inlineStr">
        <is>
          <t>예정</t>
        </is>
      </c>
      <c r="I33" s="9" t="n">
        <v>0</v>
      </c>
      <c r="J33" s="8" t="n"/>
      <c r="K33" s="8" t="n"/>
    </row>
    <row r="34">
      <c r="A34" s="4" t="inlineStr">
        <is>
          <t>6</t>
        </is>
      </c>
      <c r="B34" s="4" t="inlineStr">
        <is>
          <t>실제 AI 연결</t>
        </is>
      </c>
      <c r="C34" s="5" t="inlineStr">
        <is>
          <t>실제 AI 연결·튜닝</t>
        </is>
      </c>
      <c r="D34" s="5" t="n"/>
      <c r="E34" s="4" t="n"/>
      <c r="F34" s="4" t="n"/>
      <c r="G34" s="4" t="n"/>
      <c r="H34" s="4" t="n"/>
      <c r="I34" s="6">
        <f>IFERROR(AVERAGE(I35:I37),0)</f>
        <v/>
      </c>
      <c r="J34" s="5" t="n"/>
      <c r="K34" s="5" t="n"/>
    </row>
    <row r="35">
      <c r="A35" s="7" t="inlineStr">
        <is>
          <t>6.1</t>
        </is>
      </c>
      <c r="B35" s="7" t="inlineStr">
        <is>
          <t>실제 AI 연결</t>
        </is>
      </c>
      <c r="C35" s="8" t="inlineStr">
        <is>
          <t>Claude 모델 연결</t>
        </is>
      </c>
      <c r="D35" s="8" t="inlineStr">
        <is>
          <t>가짜 모델(Mock) 대신 실제 모델</t>
        </is>
      </c>
      <c r="E35" s="7" t="inlineStr">
        <is>
          <t>개발</t>
        </is>
      </c>
      <c r="F35" s="7" t="n"/>
      <c r="G35" s="7" t="n"/>
      <c r="H35" s="7" t="inlineStr">
        <is>
          <t>예정</t>
        </is>
      </c>
      <c r="I35" s="9" t="n">
        <v>0</v>
      </c>
      <c r="J35" s="8" t="n"/>
      <c r="K35" s="8" t="n"/>
    </row>
    <row r="36">
      <c r="A36" s="7" t="inlineStr">
        <is>
          <t>6.2</t>
        </is>
      </c>
      <c r="B36" s="7" t="inlineStr">
        <is>
          <t>실제 AI 연결</t>
        </is>
      </c>
      <c r="C36" s="8" t="inlineStr">
        <is>
          <t>과제별 질문·결과 품질 튜닝</t>
        </is>
      </c>
      <c r="D36" s="8" t="inlineStr">
        <is>
          <t>준비도 기준·항목 가중치·프롬프트를 시나리오로 측정</t>
        </is>
      </c>
      <c r="E36" s="7" t="inlineStr">
        <is>
          <t>개발</t>
        </is>
      </c>
      <c r="F36" s="7" t="n"/>
      <c r="G36" s="7" t="n"/>
      <c r="H36" s="7" t="inlineStr">
        <is>
          <t>예정</t>
        </is>
      </c>
      <c r="I36" s="9" t="n">
        <v>0</v>
      </c>
      <c r="J36" s="8" t="n"/>
      <c r="K36" s="8" t="n"/>
    </row>
    <row r="37">
      <c r="A37" s="7" t="inlineStr">
        <is>
          <t>6.3</t>
        </is>
      </c>
      <c r="B37" s="7" t="inlineStr">
        <is>
          <t>실제 AI 연결</t>
        </is>
      </c>
      <c r="C37" s="8" t="inlineStr">
        <is>
          <t>이미지 생성·웹 검색 근거 연결</t>
        </is>
      </c>
      <c r="D37" s="8" t="inlineStr">
        <is>
          <t>지금의 자리표시·샘플 자리에 실제 기능 연결</t>
        </is>
      </c>
      <c r="E37" s="7" t="inlineStr">
        <is>
          <t>개발</t>
        </is>
      </c>
      <c r="F37" s="7" t="n"/>
      <c r="G37" s="7" t="n"/>
      <c r="H37" s="7" t="inlineStr">
        <is>
          <t>예정</t>
        </is>
      </c>
      <c r="I37" s="9" t="n">
        <v>0</v>
      </c>
      <c r="J37" s="8" t="n"/>
      <c r="K37" s="8" t="n"/>
    </row>
    <row r="38">
      <c r="A38" s="4" t="inlineStr">
        <is>
          <t>7</t>
        </is>
      </c>
      <c r="B38" s="4" t="inlineStr">
        <is>
          <t>마무리</t>
        </is>
      </c>
      <c r="C38" s="5" t="inlineStr">
        <is>
          <t>평가·발표</t>
        </is>
      </c>
      <c r="D38" s="5" t="n"/>
      <c r="E38" s="4" t="n"/>
      <c r="F38" s="4" t="n"/>
      <c r="G38" s="4" t="n"/>
      <c r="H38" s="4" t="n"/>
      <c r="I38" s="6">
        <f>IFERROR(AVERAGE(I39:I40),0)</f>
        <v/>
      </c>
      <c r="J38" s="5" t="n"/>
      <c r="K38" s="5" t="n"/>
    </row>
    <row r="39">
      <c r="A39" s="7" t="inlineStr">
        <is>
          <t>7.1</t>
        </is>
      </c>
      <c r="B39" s="7" t="inlineStr">
        <is>
          <t>마무리</t>
        </is>
      </c>
      <c r="C39" s="8" t="inlineStr">
        <is>
          <t>사용성 확인·평가 지표 측정</t>
        </is>
      </c>
      <c r="D39" s="8" t="inlineStr">
        <is>
          <t>필수정보 충족률, 질문 효율, 가정 표시율 등(기획서 14장)</t>
        </is>
      </c>
      <c r="E39" s="7" t="inlineStr">
        <is>
          <t>공동</t>
        </is>
      </c>
      <c r="F39" s="7" t="n"/>
      <c r="G39" s="7" t="n"/>
      <c r="H39" s="7" t="inlineStr">
        <is>
          <t>예정</t>
        </is>
      </c>
      <c r="I39" s="9" t="n">
        <v>0</v>
      </c>
      <c r="J39" s="8" t="n"/>
      <c r="K39" s="8" t="n"/>
    </row>
    <row r="40">
      <c r="A40" s="7" t="inlineStr">
        <is>
          <t>7.2</t>
        </is>
      </c>
      <c r="B40" s="7" t="inlineStr">
        <is>
          <t>마무리</t>
        </is>
      </c>
      <c r="C40" s="8" t="inlineStr">
        <is>
          <t>최종 발표 자료</t>
        </is>
      </c>
      <c r="D40" s="8" t="n"/>
      <c r="E40" s="7" t="inlineStr">
        <is>
          <t>공동</t>
        </is>
      </c>
      <c r="F40" s="7" t="n"/>
      <c r="G40" s="7" t="n"/>
      <c r="H40" s="7" t="inlineStr">
        <is>
          <t>예정</t>
        </is>
      </c>
      <c r="I40" s="9" t="n">
        <v>0</v>
      </c>
      <c r="J40" s="8" t="n"/>
      <c r="K40" s="8" t="n"/>
    </row>
  </sheetData>
  <autoFilter ref="A4:K40"/>
  <conditionalFormatting sqref="H5:H40">
    <cfRule type="cellIs" priority="1" operator="equal" dxfId="0">
      <formula>"완료"</formula>
    </cfRule>
    <cfRule type="cellIs" priority="2" operator="equal" dxfId="1">
      <formula>"진행 중"</formula>
    </cfRule>
    <cfRule type="cellIs" priority="3" operator="equal" dxfId="2">
      <formula>"보류"</formula>
    </cfRule>
  </conditionalFormatting>
  <conditionalFormatting sqref="I5:I40">
    <cfRule type="dataBar" priority="4">
      <dataBar>
        <cfvo type="num" val="0"/>
        <cfvo type="num" val="1"/>
        <color rgb="00C98A9A"/>
      </dataBar>
    </cfRule>
  </conditionalFormatting>
  <dataValidations count="2">
    <dataValidation sqref="H5:H40" showDropDown="0" showInputMessage="0" showErrorMessage="0" allowBlank="1" type="list">
      <formula1>"완료,진행 중,예정,보류"</formula1>
    </dataValidation>
    <dataValidation sqref="E5:E40" showDropDown="0" showInputMessage="0" showErrorMessage="0" allowBlank="1" type="list">
      <formula1>"개발,디자인,공동"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8" customWidth="1" min="3" max="3"/>
    <col width="9" customWidth="1" min="4" max="4"/>
    <col width="8" customWidth="1" min="5" max="5"/>
    <col width="12" customWidth="1" min="6" max="6"/>
  </cols>
  <sheetData>
    <row r="1">
      <c r="A1" s="10" t="inlineStr">
        <is>
          <t>단계별 진척 요약</t>
        </is>
      </c>
    </row>
    <row r="3">
      <c r="A3" s="3" t="inlineStr">
        <is>
          <t>단계</t>
        </is>
      </c>
      <c r="B3" s="3" t="inlineStr">
        <is>
          <t>작업 수</t>
        </is>
      </c>
      <c r="C3" s="3" t="inlineStr">
        <is>
          <t>완료</t>
        </is>
      </c>
      <c r="D3" s="3" t="inlineStr">
        <is>
          <t>진행 중</t>
        </is>
      </c>
      <c r="E3" s="3" t="inlineStr">
        <is>
          <t>예정</t>
        </is>
      </c>
      <c r="F3" s="3" t="inlineStr">
        <is>
          <t>평균 진척률</t>
        </is>
      </c>
    </row>
    <row r="4">
      <c r="A4" s="11" t="inlineStr">
        <is>
          <t>기획·설계</t>
        </is>
      </c>
      <c r="B4" s="11">
        <f>COUNTIFS(WBS!$B$5:$B$40,A4,WBS!$H$5:$H$40,"&lt;&gt;")</f>
        <v/>
      </c>
      <c r="C4" s="11">
        <f>COUNTIFS(WBS!$B$5:$B$40,A4,WBS!$H$5:$H$40,"완료")</f>
        <v/>
      </c>
      <c r="D4" s="11">
        <f>COUNTIFS(WBS!$B$5:$B$40,A4,WBS!$H$5:$H$40,"진행 중")</f>
        <v/>
      </c>
      <c r="E4" s="11">
        <f>COUNTIFS(WBS!$B$5:$B$40,A4,WBS!$H$5:$H$40,"예정")</f>
        <v/>
      </c>
      <c r="F4" s="12">
        <f>IFERROR(AVERAGEIFS(WBS!$I$5:$I$40,WBS!$B$5:$B$40,A4,WBS!$H$5:$H$40,"&lt;&gt;"),0)</f>
        <v/>
      </c>
    </row>
    <row r="5">
      <c r="A5" s="11" t="inlineStr">
        <is>
          <t>백엔드 기반</t>
        </is>
      </c>
      <c r="B5" s="11">
        <f>COUNTIFS(WBS!$B$5:$B$40,A5,WBS!$H$5:$H$40,"&lt;&gt;")</f>
        <v/>
      </c>
      <c r="C5" s="11">
        <f>COUNTIFS(WBS!$B$5:$B$40,A5,WBS!$H$5:$H$40,"완료")</f>
        <v/>
      </c>
      <c r="D5" s="11">
        <f>COUNTIFS(WBS!$B$5:$B$40,A5,WBS!$H$5:$H$40,"진행 중")</f>
        <v/>
      </c>
      <c r="E5" s="11">
        <f>COUNTIFS(WBS!$B$5:$B$40,A5,WBS!$H$5:$H$40,"예정")</f>
        <v/>
      </c>
      <c r="F5" s="12">
        <f>IFERROR(AVERAGEIFS(WBS!$I$5:$I$40,WBS!$B$5:$B$40,A5,WBS!$H$5:$H$40,"&lt;&gt;"),0)</f>
        <v/>
      </c>
    </row>
    <row r="6">
      <c r="A6" s="11" t="inlineStr">
        <is>
          <t>디자인</t>
        </is>
      </c>
      <c r="B6" s="11">
        <f>COUNTIFS(WBS!$B$5:$B$40,A6,WBS!$H$5:$H$40,"&lt;&gt;")</f>
        <v/>
      </c>
      <c r="C6" s="11">
        <f>COUNTIFS(WBS!$B$5:$B$40,A6,WBS!$H$5:$H$40,"완료")</f>
        <v/>
      </c>
      <c r="D6" s="11">
        <f>COUNTIFS(WBS!$B$5:$B$40,A6,WBS!$H$5:$H$40,"진행 중")</f>
        <v/>
      </c>
      <c r="E6" s="11">
        <f>COUNTIFS(WBS!$B$5:$B$40,A6,WBS!$H$5:$H$40,"예정")</f>
        <v/>
      </c>
      <c r="F6" s="12">
        <f>IFERROR(AVERAGEIFS(WBS!$I$5:$I$40,WBS!$B$5:$B$40,A6,WBS!$H$5:$H$40,"&lt;&gt;"),0)</f>
        <v/>
      </c>
    </row>
    <row r="7">
      <c r="A7" s="11" t="inlineStr">
        <is>
          <t>화면 개발(V2)</t>
        </is>
      </c>
      <c r="B7" s="11">
        <f>COUNTIFS(WBS!$B$5:$B$40,A7,WBS!$H$5:$H$40,"&lt;&gt;")</f>
        <v/>
      </c>
      <c r="C7" s="11">
        <f>COUNTIFS(WBS!$B$5:$B$40,A7,WBS!$H$5:$H$40,"완료")</f>
        <v/>
      </c>
      <c r="D7" s="11">
        <f>COUNTIFS(WBS!$B$5:$B$40,A7,WBS!$H$5:$H$40,"진행 중")</f>
        <v/>
      </c>
      <c r="E7" s="11">
        <f>COUNTIFS(WBS!$B$5:$B$40,A7,WBS!$H$5:$H$40,"예정")</f>
        <v/>
      </c>
      <c r="F7" s="12">
        <f>IFERROR(AVERAGEIFS(WBS!$I$5:$I$40,WBS!$B$5:$B$40,A7,WBS!$H$5:$H$40,"&lt;&gt;"),0)</f>
        <v/>
      </c>
    </row>
    <row r="8">
      <c r="A8" s="11" t="inlineStr">
        <is>
          <t>배포</t>
        </is>
      </c>
      <c r="B8" s="11">
        <f>COUNTIFS(WBS!$B$5:$B$40,A8,WBS!$H$5:$H$40,"&lt;&gt;")</f>
        <v/>
      </c>
      <c r="C8" s="11">
        <f>COUNTIFS(WBS!$B$5:$B$40,A8,WBS!$H$5:$H$40,"완료")</f>
        <v/>
      </c>
      <c r="D8" s="11">
        <f>COUNTIFS(WBS!$B$5:$B$40,A8,WBS!$H$5:$H$40,"진행 중")</f>
        <v/>
      </c>
      <c r="E8" s="11">
        <f>COUNTIFS(WBS!$B$5:$B$40,A8,WBS!$H$5:$H$40,"예정")</f>
        <v/>
      </c>
      <c r="F8" s="12">
        <f>IFERROR(AVERAGEIFS(WBS!$I$5:$I$40,WBS!$B$5:$B$40,A8,WBS!$H$5:$H$40,"&lt;&gt;"),0)</f>
        <v/>
      </c>
    </row>
    <row r="9">
      <c r="A9" s="11" t="inlineStr">
        <is>
          <t>실제 AI 연결</t>
        </is>
      </c>
      <c r="B9" s="11">
        <f>COUNTIFS(WBS!$B$5:$B$40,A9,WBS!$H$5:$H$40,"&lt;&gt;")</f>
        <v/>
      </c>
      <c r="C9" s="11">
        <f>COUNTIFS(WBS!$B$5:$B$40,A9,WBS!$H$5:$H$40,"완료")</f>
        <v/>
      </c>
      <c r="D9" s="11">
        <f>COUNTIFS(WBS!$B$5:$B$40,A9,WBS!$H$5:$H$40,"진행 중")</f>
        <v/>
      </c>
      <c r="E9" s="11">
        <f>COUNTIFS(WBS!$B$5:$B$40,A9,WBS!$H$5:$H$40,"예정")</f>
        <v/>
      </c>
      <c r="F9" s="12">
        <f>IFERROR(AVERAGEIFS(WBS!$I$5:$I$40,WBS!$B$5:$B$40,A9,WBS!$H$5:$H$40,"&lt;&gt;"),0)</f>
        <v/>
      </c>
    </row>
    <row r="10">
      <c r="A10" s="11" t="inlineStr">
        <is>
          <t>마무리</t>
        </is>
      </c>
      <c r="B10" s="11">
        <f>COUNTIFS(WBS!$B$5:$B$40,A10,WBS!$H$5:$H$40,"&lt;&gt;")</f>
        <v/>
      </c>
      <c r="C10" s="11">
        <f>COUNTIFS(WBS!$B$5:$B$40,A10,WBS!$H$5:$H$40,"완료")</f>
        <v/>
      </c>
      <c r="D10" s="11">
        <f>COUNTIFS(WBS!$B$5:$B$40,A10,WBS!$H$5:$H$40,"진행 중")</f>
        <v/>
      </c>
      <c r="E10" s="11">
        <f>COUNTIFS(WBS!$B$5:$B$40,A10,WBS!$H$5:$H$40,"예정")</f>
        <v/>
      </c>
      <c r="F10" s="12">
        <f>IFERROR(AVERAGEIFS(WBS!$I$5:$I$40,WBS!$B$5:$B$40,A10,WBS!$H$5:$H$40,"&lt;&gt;"),0)</f>
        <v/>
      </c>
    </row>
    <row r="11">
      <c r="A11" s="13" t="inlineStr">
        <is>
          <t>전체</t>
        </is>
      </c>
      <c r="B11" s="13">
        <f>SUM(B4:B10)</f>
        <v/>
      </c>
      <c r="C11" s="13">
        <f>SUM(C4:C10)</f>
        <v/>
      </c>
      <c r="D11" s="13">
        <f>SUM(D4:D10)</f>
        <v/>
      </c>
      <c r="E11" s="13">
        <f>SUM(E4:E10)</f>
        <v/>
      </c>
      <c r="F11" s="14">
        <f>IFERROR(AVERAGEIFS(WBS!$I$5:$I$40,WBS!$H$5:$H$40,"&lt;&gt;"),0)</f>
        <v/>
      </c>
    </row>
    <row r="13">
      <c r="A13" s="15" t="inlineStr">
        <is>
          <t>상태가 비어 있는 행(단계 제목)은 세지 않습니다.</t>
        </is>
      </c>
    </row>
  </sheetData>
  <conditionalFormatting sqref="F4:F11">
    <cfRule type="dataBar" priority="1">
      <dataBar>
        <cfvo type="num" val="0"/>
        <cfvo type="num" val="1"/>
        <color rgb="00C98A9A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2026-10-17T12:55:04Z</dcterms:created>
  <dcterms:modified xsi:type="dcterms:W3CDTF">2026-10-17T13:13:27Z</dcterms:modified>
</cp:coreProperties>
</file>