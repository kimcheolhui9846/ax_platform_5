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2026-10-18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16" t="inlineStr">
        <is>
          <t>1.1</t>
        </is>
      </c>
      <c r="B6" s="1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16" t="inlineStr">
        <is>
          <t>공동</t>
        </is>
      </c>
      <c r="F6" s="16" t="n"/>
      <c r="G6" s="16" t="inlineStr">
        <is>
          <t>2026-10-15</t>
        </is>
      </c>
      <c r="H6" s="16" t="inlineStr">
        <is>
          <t>완료</t>
        </is>
      </c>
      <c r="I6" s="17" t="n">
        <v>1</v>
      </c>
      <c r="J6" s="8" t="inlineStr">
        <is>
          <t>docs/planning</t>
        </is>
      </c>
      <c r="K6" s="8" t="n"/>
    </row>
    <row r="7">
      <c r="A7" s="16" t="inlineStr">
        <is>
          <t>1.2</t>
        </is>
      </c>
      <c r="B7" s="1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16" t="inlineStr">
        <is>
          <t>개발</t>
        </is>
      </c>
      <c r="F7" s="16" t="inlineStr">
        <is>
          <t>2026-10-15</t>
        </is>
      </c>
      <c r="G7" s="16" t="inlineStr">
        <is>
          <t>2026-10-15</t>
        </is>
      </c>
      <c r="H7" s="16" t="inlineStr">
        <is>
          <t>완료</t>
        </is>
      </c>
      <c r="I7" s="17" t="n">
        <v>1</v>
      </c>
      <c r="J7" s="8" t="inlineStr">
        <is>
          <t>기반 설계 문서</t>
        </is>
      </c>
      <c r="K7" s="8" t="n"/>
    </row>
    <row r="8">
      <c r="A8" s="16" t="inlineStr">
        <is>
          <t>1.3</t>
        </is>
      </c>
      <c r="B8" s="1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16" t="inlineStr">
        <is>
          <t>개발</t>
        </is>
      </c>
      <c r="F8" s="16" t="inlineStr">
        <is>
          <t>2026-10-16</t>
        </is>
      </c>
      <c r="G8" s="16" t="inlineStr">
        <is>
          <t>2026-10-16</t>
        </is>
      </c>
      <c r="H8" s="16" t="inlineStr">
        <is>
          <t>완료</t>
        </is>
      </c>
      <c r="I8" s="17" t="n">
        <v>1</v>
      </c>
      <c r="J8" s="8" t="inlineStr">
        <is>
          <t>PR #11</t>
        </is>
      </c>
      <c r="K8" s="8" t="n"/>
    </row>
    <row r="9">
      <c r="A9" s="16" t="inlineStr">
        <is>
          <t>1.4</t>
        </is>
      </c>
      <c r="B9" s="1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16" t="inlineStr">
        <is>
          <t>개발</t>
        </is>
      </c>
      <c r="F9" s="16" t="inlineStr">
        <is>
          <t>2026-10-18</t>
        </is>
      </c>
      <c r="G9" s="16" t="inlineStr">
        <is>
          <t>2026-10-18</t>
        </is>
      </c>
      <c r="H9" s="16" t="inlineStr">
        <is>
          <t>완료</t>
        </is>
      </c>
      <c r="I9" s="17" t="n">
        <v>1</v>
      </c>
      <c r="J9" s="8" t="inlineStr">
        <is>
          <t>PR #19</t>
        </is>
      </c>
      <c r="K9" s="8" t="n"/>
    </row>
    <row r="10">
      <c r="A10" s="18" t="inlineStr">
        <is>
          <t>1.5</t>
        </is>
      </c>
      <c r="B10" s="18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18" t="inlineStr">
        <is>
          <t>개발</t>
        </is>
      </c>
      <c r="F10" s="18" t="inlineStr">
        <is>
          <t>2026-10-18</t>
        </is>
      </c>
      <c r="G10" s="18" t="inlineStr">
        <is>
          <t>2026-10-18</t>
        </is>
      </c>
      <c r="H10" s="18" t="inlineStr">
        <is>
          <t>완료</t>
        </is>
      </c>
      <c r="I10" s="19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16" t="inlineStr">
        <is>
          <t>2.1</t>
        </is>
      </c>
      <c r="B12" s="16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16" t="inlineStr">
        <is>
          <t>개발</t>
        </is>
      </c>
      <c r="F12" s="16" t="inlineStr">
        <is>
          <t>2026-10-15</t>
        </is>
      </c>
      <c r="G12" s="16" t="inlineStr">
        <is>
          <t>2026-10-16</t>
        </is>
      </c>
      <c r="H12" s="16" t="inlineStr">
        <is>
          <t>완료</t>
        </is>
      </c>
      <c r="I12" s="17" t="n">
        <v>1</v>
      </c>
      <c r="J12" s="8" t="inlineStr">
        <is>
          <t>PR #1</t>
        </is>
      </c>
      <c r="K12" s="8" t="n"/>
    </row>
    <row r="13">
      <c r="A13" s="16" t="inlineStr">
        <is>
          <t>2.2</t>
        </is>
      </c>
      <c r="B13" s="16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16" t="inlineStr">
        <is>
          <t>개발</t>
        </is>
      </c>
      <c r="F13" s="16" t="inlineStr">
        <is>
          <t>2026-10-15</t>
        </is>
      </c>
      <c r="G13" s="16" t="inlineStr">
        <is>
          <t>2026-10-16</t>
        </is>
      </c>
      <c r="H13" s="16" t="inlineStr">
        <is>
          <t>완료</t>
        </is>
      </c>
      <c r="I13" s="17" t="n">
        <v>1</v>
      </c>
      <c r="J13" s="8" t="inlineStr">
        <is>
          <t>PR #2</t>
        </is>
      </c>
      <c r="K13" s="8" t="n"/>
    </row>
    <row r="14">
      <c r="A14" s="16" t="inlineStr">
        <is>
          <t>2.3</t>
        </is>
      </c>
      <c r="B14" s="16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16" t="inlineStr">
        <is>
          <t>개발</t>
        </is>
      </c>
      <c r="F14" s="16" t="inlineStr">
        <is>
          <t>2026-10-16</t>
        </is>
      </c>
      <c r="G14" s="16" t="inlineStr">
        <is>
          <t>2026-10-16</t>
        </is>
      </c>
      <c r="H14" s="16" t="inlineStr">
        <is>
          <t>완료</t>
        </is>
      </c>
      <c r="I14" s="17" t="n">
        <v>1</v>
      </c>
      <c r="J14" s="8" t="inlineStr">
        <is>
          <t>PR #3</t>
        </is>
      </c>
      <c r="K14" s="8" t="n"/>
    </row>
    <row r="15">
      <c r="A15" s="16" t="inlineStr">
        <is>
          <t>2.4</t>
        </is>
      </c>
      <c r="B15" s="16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16" t="inlineStr">
        <is>
          <t>개발</t>
        </is>
      </c>
      <c r="F15" s="16" t="inlineStr">
        <is>
          <t>2026-10-16</t>
        </is>
      </c>
      <c r="G15" s="16" t="inlineStr">
        <is>
          <t>2026-10-16</t>
        </is>
      </c>
      <c r="H15" s="16" t="inlineStr">
        <is>
          <t>완료</t>
        </is>
      </c>
      <c r="I15" s="17" t="n">
        <v>1</v>
      </c>
      <c r="J15" s="8" t="inlineStr">
        <is>
          <t>PR #4</t>
        </is>
      </c>
      <c r="K15" s="8" t="n"/>
    </row>
    <row r="16">
      <c r="A16" s="16" t="inlineStr">
        <is>
          <t>2.5</t>
        </is>
      </c>
      <c r="B16" s="16" t="inlineStr">
        <is>
          <t>백엔드 기반</t>
        </is>
      </c>
      <c r="C16" s="8" t="inlineStr">
        <is>
          <t>결과 생성·검증·시나리오 실행</t>
        </is>
      </c>
      <c r="D16" s="8" t="n"/>
      <c r="E16" s="16" t="inlineStr">
        <is>
          <t>개발</t>
        </is>
      </c>
      <c r="F16" s="16" t="inlineStr">
        <is>
          <t>2026-10-16</t>
        </is>
      </c>
      <c r="G16" s="16" t="inlineStr">
        <is>
          <t>2026-10-16</t>
        </is>
      </c>
      <c r="H16" s="16" t="inlineStr">
        <is>
          <t>완료</t>
        </is>
      </c>
      <c r="I16" s="17" t="n">
        <v>1</v>
      </c>
      <c r="J16" s="8" t="inlineStr">
        <is>
          <t>PR #5</t>
        </is>
      </c>
      <c r="K16" s="8" t="n"/>
    </row>
    <row r="17">
      <c r="A17" s="16" t="inlineStr">
        <is>
          <t>2.6</t>
        </is>
      </c>
      <c r="B17" s="16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16" t="inlineStr">
        <is>
          <t>개발</t>
        </is>
      </c>
      <c r="F17" s="16" t="inlineStr">
        <is>
          <t>2026-10-16</t>
        </is>
      </c>
      <c r="G17" s="16" t="inlineStr">
        <is>
          <t>2026-10-16</t>
        </is>
      </c>
      <c r="H17" s="16" t="inlineStr">
        <is>
          <t>완료</t>
        </is>
      </c>
      <c r="I17" s="17" t="n">
        <v>1</v>
      </c>
      <c r="J17" s="8" t="inlineStr">
        <is>
          <t>PR #6</t>
        </is>
      </c>
      <c r="K17" s="8" t="n"/>
    </row>
    <row r="18">
      <c r="A18" s="16" t="inlineStr">
        <is>
          <t>2.7</t>
        </is>
      </c>
      <c r="B18" s="16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16" t="inlineStr">
        <is>
          <t>개발</t>
        </is>
      </c>
      <c r="F18" s="16" t="inlineStr">
        <is>
          <t>2026-10-16</t>
        </is>
      </c>
      <c r="G18" s="16" t="inlineStr">
        <is>
          <t>2026-10-16</t>
        </is>
      </c>
      <c r="H18" s="16" t="inlineStr">
        <is>
          <t>완료</t>
        </is>
      </c>
      <c r="I18" s="17" t="n">
        <v>1</v>
      </c>
      <c r="J18" s="8" t="inlineStr">
        <is>
          <t>PR #7</t>
        </is>
      </c>
      <c r="K18" s="8" t="n"/>
    </row>
    <row r="19">
      <c r="A19" s="16" t="inlineStr">
        <is>
          <t>2.8</t>
        </is>
      </c>
      <c r="B19" s="16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16" t="inlineStr">
        <is>
          <t>개발</t>
        </is>
      </c>
      <c r="F19" s="16" t="inlineStr">
        <is>
          <t>2026-10-16</t>
        </is>
      </c>
      <c r="G19" s="16" t="inlineStr">
        <is>
          <t>2026-10-16</t>
        </is>
      </c>
      <c r="H19" s="16" t="inlineStr">
        <is>
          <t>완료</t>
        </is>
      </c>
      <c r="I19" s="17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16" t="inlineStr">
        <is>
          <t>3.1</t>
        </is>
      </c>
      <c r="B21" s="16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16" t="inlineStr">
        <is>
          <t>디자인</t>
        </is>
      </c>
      <c r="F21" s="16" t="n"/>
      <c r="G21" s="16" t="inlineStr">
        <is>
          <t>2026-10-16</t>
        </is>
      </c>
      <c r="H21" s="16" t="inlineStr">
        <is>
          <t>완료</t>
        </is>
      </c>
      <c r="I21" s="17" t="n">
        <v>1</v>
      </c>
      <c r="J21" s="8" t="inlineStr">
        <is>
          <t>design/2026-10-16-ux-v2</t>
        </is>
      </c>
      <c r="K21" s="8" t="n"/>
    </row>
    <row r="22">
      <c r="A22" s="16" t="inlineStr">
        <is>
          <t>3.2</t>
        </is>
      </c>
      <c r="B22" s="16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16" t="inlineStr">
        <is>
          <t>디자인</t>
        </is>
      </c>
      <c r="F22" s="16" t="inlineStr">
        <is>
          <t>2026-10-17</t>
        </is>
      </c>
      <c r="G22" s="16" t="inlineStr">
        <is>
          <t>2026-10-17</t>
        </is>
      </c>
      <c r="H22" s="16" t="inlineStr">
        <is>
          <t>완료</t>
        </is>
      </c>
      <c r="I22" s="17" t="n">
        <v>1</v>
      </c>
      <c r="J22" s="8" t="inlineStr">
        <is>
          <t>design/2026-10-17-ux-v2-feedback</t>
        </is>
      </c>
      <c r="K22" s="8" t="n"/>
    </row>
    <row r="23">
      <c r="A23" s="16" t="inlineStr">
        <is>
          <t>3.3</t>
        </is>
      </c>
      <c r="B23" s="16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16" t="inlineStr">
        <is>
          <t>디자인</t>
        </is>
      </c>
      <c r="F23" s="16" t="n"/>
      <c r="G23" s="16" t="n"/>
      <c r="H23" s="16" t="inlineStr">
        <is>
          <t>예정</t>
        </is>
      </c>
      <c r="I23" s="17" t="n">
        <v>0</v>
      </c>
      <c r="J23" s="8" t="n"/>
      <c r="K23" s="8" t="n"/>
    </row>
    <row r="24">
      <c r="A24" s="16" t="inlineStr">
        <is>
          <t>3.4</t>
        </is>
      </c>
      <c r="B24" s="16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16" t="inlineStr">
        <is>
          <t>디자인</t>
        </is>
      </c>
      <c r="F24" s="16" t="n"/>
      <c r="G24" s="16" t="n"/>
      <c r="H24" s="16" t="inlineStr">
        <is>
          <t>예정</t>
        </is>
      </c>
      <c r="I24" s="17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IFERROR(AVERAGE(I26:I32),0)</f>
        <v/>
      </c>
      <c r="J25" s="5" t="n"/>
      <c r="K25" s="5" t="n"/>
    </row>
    <row r="26">
      <c r="A26" s="16" t="inlineStr">
        <is>
          <t>4.1</t>
        </is>
      </c>
      <c r="B26" s="16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16" t="inlineStr">
        <is>
          <t>개발</t>
        </is>
      </c>
      <c r="F26" s="16" t="inlineStr">
        <is>
          <t>2026-10-16</t>
        </is>
      </c>
      <c r="G26" s="16" t="inlineStr">
        <is>
          <t>2026-10-16</t>
        </is>
      </c>
      <c r="H26" s="16" t="inlineStr">
        <is>
          <t>완료</t>
        </is>
      </c>
      <c r="I26" s="17" t="n">
        <v>1</v>
      </c>
      <c r="J26" s="8" t="inlineStr">
        <is>
          <t>PR #12</t>
        </is>
      </c>
      <c r="K26" s="8" t="n"/>
    </row>
    <row r="27">
      <c r="A27" s="16" t="inlineStr">
        <is>
          <t>4.2</t>
        </is>
      </c>
      <c r="B27" s="16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16" t="inlineStr">
        <is>
          <t>개발</t>
        </is>
      </c>
      <c r="F27" s="16" t="inlineStr">
        <is>
          <t>2026-10-17</t>
        </is>
      </c>
      <c r="G27" s="16" t="inlineStr">
        <is>
          <t>2026-10-17</t>
        </is>
      </c>
      <c r="H27" s="16" t="inlineStr">
        <is>
          <t>완료</t>
        </is>
      </c>
      <c r="I27" s="17" t="n">
        <v>1</v>
      </c>
      <c r="J27" s="8" t="inlineStr">
        <is>
          <t>PR #13</t>
        </is>
      </c>
      <c r="K27" s="8" t="n"/>
    </row>
    <row r="28">
      <c r="A28" s="16" t="inlineStr">
        <is>
          <t>4.3</t>
        </is>
      </c>
      <c r="B28" s="16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16" t="inlineStr">
        <is>
          <t>개발</t>
        </is>
      </c>
      <c r="F28" s="16" t="inlineStr">
        <is>
          <t>2026-10-17</t>
        </is>
      </c>
      <c r="G28" s="16" t="inlineStr">
        <is>
          <t>2026-10-17</t>
        </is>
      </c>
      <c r="H28" s="16" t="inlineStr">
        <is>
          <t>완료</t>
        </is>
      </c>
      <c r="I28" s="17" t="n">
        <v>1</v>
      </c>
      <c r="J28" s="8" t="inlineStr">
        <is>
          <t>PR #14</t>
        </is>
      </c>
      <c r="K28" s="8" t="n"/>
    </row>
    <row r="29">
      <c r="A29" s="16" t="inlineStr">
        <is>
          <t>4.4</t>
        </is>
      </c>
      <c r="B29" s="16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16" t="inlineStr">
        <is>
          <t>개발</t>
        </is>
      </c>
      <c r="F29" s="16" t="inlineStr">
        <is>
          <t>2026-10-17</t>
        </is>
      </c>
      <c r="G29" s="16" t="inlineStr">
        <is>
          <t>2026-10-17</t>
        </is>
      </c>
      <c r="H29" s="16" t="inlineStr">
        <is>
          <t>완료</t>
        </is>
      </c>
      <c r="I29" s="17" t="n">
        <v>1</v>
      </c>
      <c r="J29" s="8" t="inlineStr">
        <is>
          <t>PR #15</t>
        </is>
      </c>
      <c r="K29" s="8" t="n"/>
    </row>
    <row r="30">
      <c r="A30" s="16" t="inlineStr">
        <is>
          <t>4.5</t>
        </is>
      </c>
      <c r="B30" s="16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16" t="inlineStr">
        <is>
          <t>개발</t>
        </is>
      </c>
      <c r="F30" s="16" t="inlineStr">
        <is>
          <t>2026-10-17</t>
        </is>
      </c>
      <c r="G30" s="16" t="inlineStr">
        <is>
          <t>2026-10-17</t>
        </is>
      </c>
      <c r="H30" s="16" t="inlineStr">
        <is>
          <t>완료</t>
        </is>
      </c>
      <c r="I30" s="17" t="n">
        <v>1</v>
      </c>
      <c r="J30" s="8" t="inlineStr">
        <is>
          <t>PR #16</t>
        </is>
      </c>
      <c r="K30" s="8" t="n"/>
    </row>
    <row r="31">
      <c r="A31" s="16" t="inlineStr">
        <is>
          <t>4.6</t>
        </is>
      </c>
      <c r="B31" s="16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16" t="inlineStr">
        <is>
          <t>개발</t>
        </is>
      </c>
      <c r="F31" s="16" t="inlineStr">
        <is>
          <t>2026-10-17</t>
        </is>
      </c>
      <c r="G31" s="16" t="inlineStr">
        <is>
          <t>2026-10-17</t>
        </is>
      </c>
      <c r="H31" s="16" t="inlineStr">
        <is>
          <t>완료</t>
        </is>
      </c>
      <c r="I31" s="17" t="n">
        <v>1</v>
      </c>
      <c r="J31" s="8" t="inlineStr">
        <is>
          <t>PR #17</t>
        </is>
      </c>
      <c r="K31" s="8" t="n"/>
    </row>
    <row r="32">
      <c r="A32" s="16" t="inlineStr">
        <is>
          <t>4.7</t>
        </is>
      </c>
      <c r="B32" s="16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16" t="inlineStr">
        <is>
          <t>개발</t>
        </is>
      </c>
      <c r="F32" s="16" t="inlineStr">
        <is>
          <t>2026-10-17</t>
        </is>
      </c>
      <c r="G32" s="16" t="inlineStr">
        <is>
          <t>2026-10-17</t>
        </is>
      </c>
      <c r="H32" s="16" t="inlineStr">
        <is>
          <t>완료</t>
        </is>
      </c>
      <c r="I32" s="17" t="n">
        <v>1</v>
      </c>
      <c r="J32" s="8" t="inlineStr">
        <is>
          <t>PR #18</t>
        </is>
      </c>
      <c r="K32" s="8" t="n"/>
    </row>
    <row r="33">
      <c r="A33" s="4" t="inlineStr">
        <is>
          <t>5</t>
        </is>
      </c>
      <c r="B33" s="4" t="inlineStr">
        <is>
          <t>배포</t>
        </is>
      </c>
      <c r="C33" s="5" t="inlineStr">
        <is>
          <t>배포</t>
        </is>
      </c>
      <c r="D33" s="5" t="n"/>
      <c r="E33" s="4" t="n"/>
      <c r="F33" s="4" t="n"/>
      <c r="G33" s="4" t="n"/>
      <c r="H33" s="4" t="n"/>
      <c r="I33" s="6">
        <f>IFERROR(AVERAGE(I34:I35),0)</f>
        <v/>
      </c>
      <c r="J33" s="5" t="n"/>
      <c r="K33" s="5" t="n"/>
    </row>
    <row r="34">
      <c r="A34" s="16" t="inlineStr">
        <is>
          <t>5.1</t>
        </is>
      </c>
      <c r="B34" s="16" t="inlineStr">
        <is>
          <t>배포</t>
        </is>
      </c>
      <c r="C34" s="8" t="inlineStr">
        <is>
          <t>프론트 버셀 연결</t>
        </is>
      </c>
      <c r="D34" s="8" t="inlineStr">
        <is>
          <t>main은 정식 주소, PR마다 미리보기 주소</t>
        </is>
      </c>
      <c r="E34" s="16" t="inlineStr">
        <is>
          <t>개발</t>
        </is>
      </c>
      <c r="F34" s="16" t="inlineStr">
        <is>
          <t>2026-10-18</t>
        </is>
      </c>
      <c r="G34" s="16" t="inlineStr">
        <is>
          <t>2026-10-18</t>
        </is>
      </c>
      <c r="H34" s="16" t="inlineStr">
        <is>
          <t>완료</t>
        </is>
      </c>
      <c r="I34" s="17" t="n">
        <v>1</v>
      </c>
      <c r="J34" s="8" t="inlineStr">
        <is>
          <t>https://ax-platform-5.vercel.app</t>
        </is>
      </c>
      <c r="K34" s="8" t="inlineStr">
        <is>
          <t>버셀 Hobby(개인 계정), main 자동 배포</t>
        </is>
      </c>
    </row>
    <row r="35">
      <c r="A35" s="16" t="inlineStr">
        <is>
          <t>5.2</t>
        </is>
      </c>
      <c r="B35" s="16" t="inlineStr">
        <is>
          <t>배포</t>
        </is>
      </c>
      <c r="C35" s="8" t="inlineStr">
        <is>
          <t>백엔드 서버 배포(렌더)</t>
        </is>
      </c>
      <c r="D35" s="8" t="inlineStr">
        <is>
          <t>저장 디스크 방식 정하기, 프론트와 연결</t>
        </is>
      </c>
      <c r="E35" s="16" t="inlineStr">
        <is>
          <t>개발</t>
        </is>
      </c>
      <c r="F35" s="16" t="inlineStr">
        <is>
          <t>2026-10-18</t>
        </is>
      </c>
      <c r="G35" s="16" t="inlineStr">
        <is>
          <t>2026-10-18</t>
        </is>
      </c>
      <c r="H35" s="16" t="inlineStr">
        <is>
          <t>완료</t>
        </is>
      </c>
      <c r="I35" s="17" t="n">
        <v>1</v>
      </c>
      <c r="J35" s="8" t="inlineStr">
        <is>
          <t>https://ax-coaching-api.onrender.com</t>
        </is>
      </c>
      <c r="K35" s="8" t="inlineStr">
        <is>
          <t>렌더 Free(개인 계정), Mock·데이터 휘발</t>
        </is>
      </c>
    </row>
    <row r="36">
      <c r="A36" s="4" t="inlineStr">
        <is>
          <t>6</t>
        </is>
      </c>
      <c r="B36" s="4" t="inlineStr">
        <is>
          <t>실제 AI 연결</t>
        </is>
      </c>
      <c r="C36" s="5" t="inlineStr">
        <is>
          <t>실제 AI 연결·튜닝</t>
        </is>
      </c>
      <c r="D36" s="5" t="n"/>
      <c r="E36" s="4" t="n"/>
      <c r="F36" s="4" t="n"/>
      <c r="G36" s="4" t="n"/>
      <c r="H36" s="4" t="n"/>
      <c r="I36" s="6">
        <f>IFERROR(AVERAGE(I37:I39),0)</f>
        <v/>
      </c>
      <c r="J36" s="5" t="n"/>
      <c r="K36" s="5" t="n"/>
    </row>
    <row r="37">
      <c r="A37" s="16" t="inlineStr">
        <is>
          <t>6.1</t>
        </is>
      </c>
      <c r="B37" s="16" t="inlineStr">
        <is>
          <t>실제 AI 연결</t>
        </is>
      </c>
      <c r="C37" s="8" t="inlineStr">
        <is>
          <t>Claude 모델 연결</t>
        </is>
      </c>
      <c r="D37" s="8" t="inlineStr">
        <is>
          <t>가짜 모델(Mock) 대신 실제 모델</t>
        </is>
      </c>
      <c r="E37" s="16" t="inlineStr">
        <is>
          <t>개발</t>
        </is>
      </c>
      <c r="F37" s="16" t="inlineStr">
        <is>
          <t>2026-10-18</t>
        </is>
      </c>
      <c r="G37" s="16" t="inlineStr">
        <is>
          <t>2026-10-18</t>
        </is>
      </c>
      <c r="H37" s="16" t="inlineStr">
        <is>
          <t>완료</t>
        </is>
      </c>
      <c r="I37" s="17" t="n">
        <v>1</v>
      </c>
      <c r="J37" s="8" t="inlineStr">
        <is>
          <t>PR #20</t>
        </is>
      </c>
      <c r="K37" s="8" t="inlineStr">
        <is>
          <t>어댑터 준비(기본 Mock). 실제 호출·모델·비용은 인수 기업</t>
        </is>
      </c>
    </row>
    <row r="38">
      <c r="A38" s="16" t="inlineStr">
        <is>
          <t>6.2</t>
        </is>
      </c>
      <c r="B38" s="16" t="inlineStr">
        <is>
          <t>실제 AI 연결</t>
        </is>
      </c>
      <c r="C38" s="8" t="inlineStr">
        <is>
          <t>과제별 질문·결과 품질 튜닝</t>
        </is>
      </c>
      <c r="D38" s="8" t="inlineStr">
        <is>
          <t>준비도 기준·항목 가중치·프롬프트를 시나리오로 측정</t>
        </is>
      </c>
      <c r="E38" s="16" t="inlineStr">
        <is>
          <t>개발</t>
        </is>
      </c>
      <c r="F38" s="16" t="n"/>
      <c r="G38" s="16" t="n"/>
      <c r="H38" s="16" t="inlineStr">
        <is>
          <t>예정</t>
        </is>
      </c>
      <c r="I38" s="17" t="n">
        <v>0</v>
      </c>
      <c r="J38" s="8" t="n"/>
      <c r="K38" s="8" t="n"/>
    </row>
    <row r="39">
      <c r="A39" s="16" t="inlineStr">
        <is>
          <t>6.3</t>
        </is>
      </c>
      <c r="B39" s="16" t="inlineStr">
        <is>
          <t>실제 AI 연결</t>
        </is>
      </c>
      <c r="C39" s="8" t="inlineStr">
        <is>
          <t>이미지 생성·웹 검색 근거 연결</t>
        </is>
      </c>
      <c r="D39" s="8" t="inlineStr">
        <is>
          <t>지금의 자리표시·샘플 자리에 실제 기능 연결</t>
        </is>
      </c>
      <c r="E39" s="16" t="inlineStr">
        <is>
          <t>개발</t>
        </is>
      </c>
      <c r="F39" s="16" t="n"/>
      <c r="G39" s="16" t="n"/>
      <c r="H39" s="16" t="inlineStr">
        <is>
          <t>예정</t>
        </is>
      </c>
      <c r="I39" s="17" t="n">
        <v>0</v>
      </c>
      <c r="J39" s="8" t="n"/>
      <c r="K39" s="8" t="n"/>
    </row>
    <row r="40">
      <c r="A40" s="4" t="inlineStr">
        <is>
          <t>7</t>
        </is>
      </c>
      <c r="B40" s="4" t="inlineStr">
        <is>
          <t>마무리</t>
        </is>
      </c>
      <c r="C40" s="5" t="inlineStr">
        <is>
          <t>평가·발표</t>
        </is>
      </c>
      <c r="D40" s="5" t="n"/>
      <c r="E40" s="4" t="n"/>
      <c r="F40" s="4" t="n"/>
      <c r="G40" s="4" t="n"/>
      <c r="H40" s="4" t="n"/>
      <c r="I40" s="6">
        <f>IFERROR(AVERAGE(I41:I42),0)</f>
        <v/>
      </c>
      <c r="J40" s="5" t="n"/>
      <c r="K40" s="5" t="n"/>
    </row>
    <row r="41">
      <c r="A41" s="16" t="inlineStr">
        <is>
          <t>7.1</t>
        </is>
      </c>
      <c r="B41" s="16" t="inlineStr">
        <is>
          <t>마무리</t>
        </is>
      </c>
      <c r="C41" s="8" t="inlineStr">
        <is>
          <t>사용성 확인·평가 지표 측정</t>
        </is>
      </c>
      <c r="D41" s="8" t="inlineStr">
        <is>
          <t>필수정보 충족률, 질문 효율, 가정 표시율 등(기획서 14장)</t>
        </is>
      </c>
      <c r="E41" s="16" t="inlineStr">
        <is>
          <t>공동</t>
        </is>
      </c>
      <c r="F41" s="16" t="n"/>
      <c r="G41" s="16" t="n"/>
      <c r="H41" s="16" t="inlineStr">
        <is>
          <t>예정</t>
        </is>
      </c>
      <c r="I41" s="17" t="n">
        <v>0</v>
      </c>
      <c r="J41" s="8" t="n"/>
      <c r="K41" s="8" t="n"/>
    </row>
    <row r="42">
      <c r="A42" s="16" t="inlineStr">
        <is>
          <t>7.2</t>
        </is>
      </c>
      <c r="B42" s="16" t="inlineStr">
        <is>
          <t>마무리</t>
        </is>
      </c>
      <c r="C42" s="8" t="inlineStr">
        <is>
          <t>최종 발표 자료</t>
        </is>
      </c>
      <c r="D42" s="8" t="n"/>
      <c r="E42" s="16" t="inlineStr">
        <is>
          <t>공동</t>
        </is>
      </c>
      <c r="F42" s="16" t="n"/>
      <c r="G42" s="16" t="n"/>
      <c r="H42" s="16" t="inlineStr">
        <is>
          <t>예정</t>
        </is>
      </c>
      <c r="I42" s="17" t="n">
        <v>0</v>
      </c>
      <c r="J42" s="8" t="n"/>
      <c r="K42" s="8" t="n"/>
    </row>
  </sheetData>
  <autoFilter ref="A4:K42"/>
  <conditionalFormatting sqref="H5:H42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2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2" showDropDown="0" showInputMessage="0" showErrorMessage="0" allowBlank="1" type="list">
      <formula1>"완료,진행 중,예정,보류"</formula1>
    </dataValidation>
    <dataValidation sqref="E5:E42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2"/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COUNTIFS(WBS!$B$5:$B$42,A4,WBS!$H$5:$H$42,"&lt;&gt;")</f>
        <v/>
      </c>
      <c r="C4" s="11">
        <f>COUNTIFS(WBS!$B$5:$B$42,A4,WBS!$H$5:$H$42,"완료")</f>
        <v/>
      </c>
      <c r="D4" s="11">
        <f>COUNTIFS(WBS!$B$5:$B$42,A4,WBS!$H$5:$H$42,"진행 중")</f>
        <v/>
      </c>
      <c r="E4" s="11">
        <f>COUNTIFS(WBS!$B$5:$B$42,A4,WBS!$H$5:$H$42,"예정")</f>
        <v/>
      </c>
      <c r="F4" s="12">
        <f>IFERROR(AVERAGEIFS(WBS!$I$5:$I$42,WBS!$B$5:$B$42,A4,WBS!$H$5:$H$42,"&lt;&gt;"),0)</f>
        <v/>
      </c>
    </row>
    <row r="5">
      <c r="A5" s="11" t="inlineStr">
        <is>
          <t>백엔드 기반</t>
        </is>
      </c>
      <c r="B5" s="11">
        <f>COUNTIFS(WBS!$B$5:$B$42,A5,WBS!$H$5:$H$42,"&lt;&gt;")</f>
        <v/>
      </c>
      <c r="C5" s="11">
        <f>COUNTIFS(WBS!$B$5:$B$42,A5,WBS!$H$5:$H$42,"완료")</f>
        <v/>
      </c>
      <c r="D5" s="11">
        <f>COUNTIFS(WBS!$B$5:$B$42,A5,WBS!$H$5:$H$42,"진행 중")</f>
        <v/>
      </c>
      <c r="E5" s="11">
        <f>COUNTIFS(WBS!$B$5:$B$42,A5,WBS!$H$5:$H$42,"예정")</f>
        <v/>
      </c>
      <c r="F5" s="12">
        <f>IFERROR(AVERAGEIFS(WBS!$I$5:$I$42,WBS!$B$5:$B$42,A5,WBS!$H$5:$H$42,"&lt;&gt;"),0)</f>
        <v/>
      </c>
    </row>
    <row r="6">
      <c r="A6" s="11" t="inlineStr">
        <is>
          <t>디자인</t>
        </is>
      </c>
      <c r="B6" s="11">
        <f>COUNTIFS(WBS!$B$5:$B$42,A6,WBS!$H$5:$H$42,"&lt;&gt;")</f>
        <v/>
      </c>
      <c r="C6" s="11">
        <f>COUNTIFS(WBS!$B$5:$B$42,A6,WBS!$H$5:$H$42,"완료")</f>
        <v/>
      </c>
      <c r="D6" s="11">
        <f>COUNTIFS(WBS!$B$5:$B$42,A6,WBS!$H$5:$H$42,"진행 중")</f>
        <v/>
      </c>
      <c r="E6" s="11">
        <f>COUNTIFS(WBS!$B$5:$B$42,A6,WBS!$H$5:$H$42,"예정")</f>
        <v/>
      </c>
      <c r="F6" s="12">
        <f>IFERROR(AVERAGEIFS(WBS!$I$5:$I$42,WBS!$B$5:$B$42,A6,WBS!$H$5:$H$42,"&lt;&gt;"),0)</f>
        <v/>
      </c>
    </row>
    <row r="7">
      <c r="A7" s="11" t="inlineStr">
        <is>
          <t>화면 개발(V2)</t>
        </is>
      </c>
      <c r="B7" s="11">
        <f>COUNTIFS(WBS!$B$5:$B$42,A7,WBS!$H$5:$H$42,"&lt;&gt;")</f>
        <v/>
      </c>
      <c r="C7" s="11">
        <f>COUNTIFS(WBS!$B$5:$B$42,A7,WBS!$H$5:$H$42,"완료")</f>
        <v/>
      </c>
      <c r="D7" s="11">
        <f>COUNTIFS(WBS!$B$5:$B$42,A7,WBS!$H$5:$H$42,"진행 중")</f>
        <v/>
      </c>
      <c r="E7" s="11">
        <f>COUNTIFS(WBS!$B$5:$B$42,A7,WBS!$H$5:$H$42,"예정")</f>
        <v/>
      </c>
      <c r="F7" s="12">
        <f>IFERROR(AVERAGEIFS(WBS!$I$5:$I$42,WBS!$B$5:$B$42,A7,WBS!$H$5:$H$42,"&lt;&gt;"),0)</f>
        <v/>
      </c>
    </row>
    <row r="8">
      <c r="A8" s="11" t="inlineStr">
        <is>
          <t>배포</t>
        </is>
      </c>
      <c r="B8" s="11">
        <f>COUNTIFS(WBS!$B$5:$B$42,A8,WBS!$H$5:$H$42,"&lt;&gt;")</f>
        <v/>
      </c>
      <c r="C8" s="11">
        <f>COUNTIFS(WBS!$B$5:$B$42,A8,WBS!$H$5:$H$42,"완료")</f>
        <v/>
      </c>
      <c r="D8" s="11">
        <f>COUNTIFS(WBS!$B$5:$B$42,A8,WBS!$H$5:$H$42,"진행 중")</f>
        <v/>
      </c>
      <c r="E8" s="11">
        <f>COUNTIFS(WBS!$B$5:$B$42,A8,WBS!$H$5:$H$42,"예정")</f>
        <v/>
      </c>
      <c r="F8" s="12">
        <f>IFERROR(AVERAGEIFS(WBS!$I$5:$I$42,WBS!$B$5:$B$42,A8,WBS!$H$5:$H$42,"&lt;&gt;"),0)</f>
        <v/>
      </c>
    </row>
    <row r="9">
      <c r="A9" s="11" t="inlineStr">
        <is>
          <t>실제 AI 연결</t>
        </is>
      </c>
      <c r="B9" s="11">
        <f>COUNTIFS(WBS!$B$5:$B$42,A9,WBS!$H$5:$H$42,"&lt;&gt;")</f>
        <v/>
      </c>
      <c r="C9" s="11">
        <f>COUNTIFS(WBS!$B$5:$B$42,A9,WBS!$H$5:$H$42,"완료")</f>
        <v/>
      </c>
      <c r="D9" s="11">
        <f>COUNTIFS(WBS!$B$5:$B$42,A9,WBS!$H$5:$H$42,"진행 중")</f>
        <v/>
      </c>
      <c r="E9" s="11">
        <f>COUNTIFS(WBS!$B$5:$B$42,A9,WBS!$H$5:$H$42,"예정")</f>
        <v/>
      </c>
      <c r="F9" s="12">
        <f>IFERROR(AVERAGEIFS(WBS!$I$5:$I$42,WBS!$B$5:$B$42,A9,WBS!$H$5:$H$42,"&lt;&gt;"),0)</f>
        <v/>
      </c>
    </row>
    <row r="10">
      <c r="A10" s="11" t="inlineStr">
        <is>
          <t>마무리</t>
        </is>
      </c>
      <c r="B10" s="11">
        <f>COUNTIFS(WBS!$B$5:$B$42,A10,WBS!$H$5:$H$42,"&lt;&gt;")</f>
        <v/>
      </c>
      <c r="C10" s="11">
        <f>COUNTIFS(WBS!$B$5:$B$42,A10,WBS!$H$5:$H$42,"완료")</f>
        <v/>
      </c>
      <c r="D10" s="11">
        <f>COUNTIFS(WBS!$B$5:$B$42,A10,WBS!$H$5:$H$42,"진행 중")</f>
        <v/>
      </c>
      <c r="E10" s="11">
        <f>COUNTIFS(WBS!$B$5:$B$42,A10,WBS!$H$5:$H$42,"예정")</f>
        <v/>
      </c>
      <c r="F10" s="12">
        <f>IFERROR(AVERAGEIFS(WBS!$I$5:$I$42,WBS!$B$5:$B$42,A10,WBS!$H$5:$H$42,"&lt;&gt;"),0)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IFERROR(AVERAGEIFS(WBS!$I$5:$I$42,WBS!$H$5:$H$42,"&lt;&gt;"),0)</f>
        <v/>
      </c>
    </row>
    <row r="12"/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2026-10-18T02:10:48Z</dcterms:modified>
</cp:coreProperties>
</file>